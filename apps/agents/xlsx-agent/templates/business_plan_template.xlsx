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Market Analysis" sheetId="3" state="visible" r:id="rId5"/>
    <sheet name="Financial Projections" sheetId="4" state="visible" r:id="rId6"/>
    <sheet name="Milestones &amp; Action Plan" sheetId="5" state="visible" r:id="rId7"/>
    <sheet name="Team &amp; Oper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<sst xmlns="http://schemas.openxmlformats.org/spreadsheetml/2006/main" count="123" uniqueCount="117">
  <si>
    <t xml:space="preserve">BUSINESS PLAN</t>
  </si>
  <si>
    <t xml:space="preserve">Confidential — For Discussion Purposes Only</t>
  </si>
  <si>
    <t xml:space="preserve">Company Information</t>
  </si>
  <si>
    <t xml:space="preserve">Company Name</t>
  </si>
  <si>
    <t xml:space="preserve">Business Description</t>
  </si>
  <si>
    <t xml:space="preserve">Industry / Sector</t>
  </si>
  <si>
    <t xml:space="preserve">Website</t>
  </si>
  <si>
    <t xml:space="preserve">Date Founded</t>
  </si>
  <si>
    <t xml:space="preserve">Stage</t>
  </si>
  <si>
    <t xml:space="preserve">Entity Type</t>
  </si>
  <si>
    <t xml:space="preserve">Contact Information</t>
  </si>
  <si>
    <t xml:space="preserve">Primary Contact</t>
  </si>
  <si>
    <t xml:space="preserve">Title</t>
  </si>
  <si>
    <t xml:space="preserve">Email</t>
  </si>
  <si>
    <t xml:space="preserve">Phone</t>
  </si>
  <si>
    <t xml:space="preserve">Address</t>
  </si>
  <si>
    <t xml:space="preserve">Funding Request</t>
  </si>
  <si>
    <t xml:space="preserve">Amount Requested ($)</t>
  </si>
  <si>
    <t xml:space="preserve">Use of Funds</t>
  </si>
  <si>
    <t xml:space="preserve">Investment Type (e.g. Equity, SAFE)</t>
  </si>
  <si>
    <t xml:space="preserve">Target Close Date</t>
  </si>
  <si>
    <t xml:space="preserve">Color Legend</t>
  </si>
  <si>
    <t xml:space="preserve">Blue text = User input / assumption</t>
  </si>
  <si>
    <t xml:space="preserve">Black text = Formula / auto-calculated</t>
  </si>
  <si>
    <t xml:space="preserve">Green text = Cross-sheet reference</t>
  </si>
  <si>
    <t xml:space="preserve">EXECUTIVE SUMMARY</t>
  </si>
  <si>
    <t xml:space="preserve">Mission Statement</t>
  </si>
  <si>
    <t xml:space="preserve">Problem We Solve</t>
  </si>
  <si>
    <t xml:space="preserve">Our Solution</t>
  </si>
  <si>
    <t xml:space="preserve">Target Market</t>
  </si>
  <si>
    <t xml:space="preserve">Unique Value Proposition</t>
  </si>
  <si>
    <t xml:space="preserve">Business Model (How We Make Money)</t>
  </si>
  <si>
    <t xml:space="preserve">Competitive Advantage</t>
  </si>
  <si>
    <t xml:space="preserve">Traction / Key Milestones to Date</t>
  </si>
  <si>
    <t xml:space="preserve">Team Overview</t>
  </si>
  <si>
    <t xml:space="preserve">Financial Snapshot (3-Year Summary)</t>
  </si>
  <si>
    <t xml:space="preserve">Exit Strategy / Long-Term Vision</t>
  </si>
  <si>
    <t xml:space="preserve">MARKET ANALYSIS</t>
  </si>
  <si>
    <t xml:space="preserve">Market Size</t>
  </si>
  <si>
    <t xml:space="preserve">Metric</t>
  </si>
  <si>
    <t xml:space="preserve">Value ($)</t>
  </si>
  <si>
    <t xml:space="preserve">Source / Notes</t>
  </si>
  <si>
    <t xml:space="preserve">TAM – Total Addressable Market</t>
  </si>
  <si>
    <t xml:space="preserve">SAM – Serviceable Addressable Market</t>
  </si>
  <si>
    <t xml:space="preserve">SOM – Serviceable Obtainable Market</t>
  </si>
  <si>
    <t xml:space="preserve">Target Customer Profile</t>
  </si>
  <si>
    <t xml:space="preserve">Age / Demographics</t>
  </si>
  <si>
    <t xml:space="preserve">Geography</t>
  </si>
  <si>
    <t xml:space="preserve">Pain Points</t>
  </si>
  <si>
    <t xml:space="preserve">Buying Behavior</t>
  </si>
  <si>
    <t xml:space="preserve">Willingness to Pay</t>
  </si>
  <si>
    <t xml:space="preserve">Competitive Landscape</t>
  </si>
  <si>
    <t xml:space="preserve">Competitor</t>
  </si>
  <si>
    <t xml:space="preserve">Strengths</t>
  </si>
  <si>
    <t xml:space="preserve">Weaknesses</t>
  </si>
  <si>
    <t xml:space="preserve">Market Trends &amp; Industry Tailwinds</t>
  </si>
  <si>
    <t xml:space="preserve">FINANCIAL PROJECTIONS</t>
  </si>
  <si>
    <t xml:space="preserve">Key Assumptions  (blue cells = change these)</t>
  </si>
  <si>
    <t xml:space="preserve">Revenue Growth Rate (Yr 1→2)</t>
  </si>
  <si>
    <t xml:space="preserve">Revenue Growth Rate (Yr 2→3)</t>
  </si>
  <si>
    <t xml:space="preserve">COGS as % of Revenue</t>
  </si>
  <si>
    <t xml:space="preserve">OpEx Growth Rate (Yr 2–3)</t>
  </si>
  <si>
    <t xml:space="preserve">Tax Rate</t>
  </si>
  <si>
    <t xml:space="preserve">Income Statement ($)</t>
  </si>
  <si>
    <t xml:space="preserve">Line Item</t>
  </si>
  <si>
    <t xml:space="preserve">Year 1</t>
  </si>
  <si>
    <t xml:space="preserve">Year 2</t>
  </si>
  <si>
    <t xml:space="preserve">Year 3</t>
  </si>
  <si>
    <t xml:space="preserve">Revenue</t>
  </si>
  <si>
    <t xml:space="preserve">Cost of Goods Sold (COGS)</t>
  </si>
  <si>
    <t xml:space="preserve">Gross Profit</t>
  </si>
  <si>
    <t xml:space="preserve">  Gross Margin %</t>
  </si>
  <si>
    <t xml:space="preserve">Operating Expenses</t>
  </si>
  <si>
    <t xml:space="preserve">Salaries &amp; Wages</t>
  </si>
  <si>
    <t xml:space="preserve">Marketing &amp; Sales</t>
  </si>
  <si>
    <t xml:space="preserve">Rent &amp; Utilities</t>
  </si>
  <si>
    <t xml:space="preserve">Technology &amp; Software</t>
  </si>
  <si>
    <t xml:space="preserve">General &amp; Admin</t>
  </si>
  <si>
    <t xml:space="preserve">Total OpEx</t>
  </si>
  <si>
    <t xml:space="preserve">EBITDA</t>
  </si>
  <si>
    <t xml:space="preserve">  EBITDA Margin %</t>
  </si>
  <si>
    <t xml:space="preserve">Income Tax</t>
  </si>
  <si>
    <t xml:space="preserve">Net Income</t>
  </si>
  <si>
    <t xml:space="preserve">  Net Margin %</t>
  </si>
  <si>
    <t xml:space="preserve">MILESTONES &amp; ACTION PLAN</t>
  </si>
  <si>
    <t xml:space="preserve">Key Milestones (12–24 Month Roadmap)</t>
  </si>
  <si>
    <t xml:space="preserve">#</t>
  </si>
  <si>
    <t xml:space="preserve">Milestone</t>
  </si>
  <si>
    <t xml:space="preserve">Target Date</t>
  </si>
  <si>
    <t xml:space="preserve">Owner</t>
  </si>
  <si>
    <t xml:space="preserve">Status</t>
  </si>
  <si>
    <t xml:space="preserve">Notes</t>
  </si>
  <si>
    <t xml:space="preserve">90-Day Priority Actions</t>
  </si>
  <si>
    <t xml:space="preserve">Action Item</t>
  </si>
  <si>
    <t xml:space="preserve">Due Date</t>
  </si>
  <si>
    <t xml:space="preserve">Priority (H/M/L)</t>
  </si>
  <si>
    <t xml:space="preserve">TEAM &amp; OPERATIONS</t>
  </si>
  <si>
    <t xml:space="preserve">Leadership Team</t>
  </si>
  <si>
    <t xml:space="preserve">Name</t>
  </si>
  <si>
    <t xml:space="preserve">Key Experience</t>
  </si>
  <si>
    <t xml:space="preserve">LinkedIn / Contact</t>
  </si>
  <si>
    <t xml:space="preserve">Advisors &amp; Board Members</t>
  </si>
  <si>
    <t xml:space="preserve">Role / Affiliation</t>
  </si>
  <si>
    <t xml:space="preserve">Expertise</t>
  </si>
  <si>
    <t xml:space="preserve">Contact</t>
  </si>
  <si>
    <t xml:space="preserve">Hiring Plan (Next 12 Months)</t>
  </si>
  <si>
    <t xml:space="preserve">Role</t>
  </si>
  <si>
    <t xml:space="preserve">Department</t>
  </si>
  <si>
    <t xml:space="preserve">Start Date</t>
  </si>
  <si>
    <t xml:space="preserve">Est. Annual Salary ($)</t>
  </si>
  <si>
    <t xml:space="preserve">Key Operational Details</t>
  </si>
  <si>
    <t xml:space="preserve">Legal Structure</t>
  </si>
  <si>
    <t xml:space="preserve">Headquarters Location</t>
  </si>
  <si>
    <t xml:space="preserve">Key Partners / Suppliers</t>
  </si>
  <si>
    <t xml:space="preserve">Technology Stack</t>
  </si>
  <si>
    <t xml:space="preserve">Regulatory / Compliance Notes</t>
  </si>
  <si>
    <t xml:space="preserve">IP / Patents / Trademarks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</si>
</sst>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008000"/>
      <name val="Arial"/>
      <family val="0"/>
      <charset val="1"/>
    </font>
    <font>
      <sz val="10"/>
      <color rgb="FF1A1A1A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A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4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8" hidden="false" customHeight="true" outlineLevel="0" collapsed="false">
      <c r="B5" s="3" t="s">
        <v>2</v>
      </c>
      <c r="C5" s="3"/>
      <c r="D5" s="3"/>
    </row>
    <row r="6" customFormat="false" ht="21.75" hidden="false" customHeight="true" outlineLevel="0" collapsed="false">
      <c r="B6" s="4" t="s">
        <v>3</v>
      </c>
      <c r="C6" s="5"/>
      <c r="D6" s="5"/>
    </row>
    <row r="7" customFormat="false" ht="21.75" hidden="false" customHeight="true" outlineLevel="0" collapsed="false">
      <c r="B7" s="4" t="s">
        <v>4</v>
      </c>
      <c r="C7" s="5"/>
      <c r="D7" s="5"/>
    </row>
    <row r="8" customFormat="false" ht="21.75" hidden="false" customHeight="true" outlineLevel="0" collapsed="false">
      <c r="B8" s="4" t="s">
        <v>5</v>
      </c>
      <c r="C8" s="5"/>
      <c r="D8" s="5"/>
    </row>
    <row r="9" customFormat="false" ht="21.75" hidden="false" customHeight="true" outlineLevel="0" collapsed="false">
      <c r="B9" s="4" t="s">
        <v>6</v>
      </c>
      <c r="C9" s="5"/>
      <c r="D9" s="5"/>
    </row>
    <row r="10" customFormat="false" ht="21.75" hidden="false" customHeight="true" outlineLevel="0" collapsed="false">
      <c r="B10" s="4" t="s">
        <v>7</v>
      </c>
      <c r="C10" s="5"/>
      <c r="D10" s="5"/>
    </row>
    <row r="11" customFormat="false" ht="21.75" hidden="false" customHeight="true" outlineLevel="0" collapsed="false">
      <c r="B11" s="4" t="s">
        <v>8</v>
      </c>
      <c r="C11" s="5"/>
      <c r="D11" s="5"/>
    </row>
    <row r="12" customFormat="false" ht="21.75" hidden="false" customHeight="true" outlineLevel="0" collapsed="false">
      <c r="B12" s="4" t="s">
        <v>9</v>
      </c>
      <c r="C12" s="5"/>
      <c r="D12" s="5"/>
    </row>
    <row r="13" customFormat="false" ht="18" hidden="false" customHeight="true" outlineLevel="0" collapsed="false">
      <c r="B13" s="3" t="s">
        <v>10</v>
      </c>
      <c r="C13" s="3"/>
      <c r="D13" s="3"/>
    </row>
    <row r="14" customFormat="false" ht="21.75" hidden="false" customHeight="true" outlineLevel="0" collapsed="false">
      <c r="B14" s="4" t="s">
        <v>11</v>
      </c>
      <c r="C14" s="5"/>
      <c r="D14" s="5"/>
    </row>
    <row r="15" customFormat="false" ht="21.75" hidden="false" customHeight="true" outlineLevel="0" collapsed="false">
      <c r="B15" s="4" t="s">
        <v>12</v>
      </c>
      <c r="C15" s="5"/>
      <c r="D15" s="5"/>
    </row>
    <row r="16" customFormat="false" ht="21.75" hidden="false" customHeight="true" outlineLevel="0" collapsed="false">
      <c r="B16" s="4" t="s">
        <v>13</v>
      </c>
      <c r="C16" s="5"/>
      <c r="D16" s="5"/>
    </row>
    <row r="17" customFormat="false" ht="21.75" hidden="false" customHeight="true" outlineLevel="0" collapsed="false">
      <c r="B17" s="4" t="s">
        <v>14</v>
      </c>
      <c r="C17" s="5"/>
      <c r="D17" s="5"/>
    </row>
    <row r="18" customFormat="false" ht="21.75" hidden="false" customHeight="true" outlineLevel="0" collapsed="false">
      <c r="B18" s="4" t="s">
        <v>15</v>
      </c>
      <c r="C18" s="5"/>
      <c r="D18" s="5"/>
    </row>
    <row r="20" customFormat="false" ht="18" hidden="false" customHeight="true" outlineLevel="0" collapsed="false">
      <c r="B20" s="3" t="s">
        <v>16</v>
      </c>
      <c r="C20" s="3"/>
      <c r="D20" s="3"/>
    </row>
    <row r="21" customFormat="false" ht="21.75" hidden="false" customHeight="true" outlineLevel="0" collapsed="false">
      <c r="B21" s="4" t="s">
        <v>17</v>
      </c>
      <c r="C21" s="5"/>
      <c r="D21" s="5"/>
    </row>
    <row r="22" customFormat="false" ht="21.75" hidden="false" customHeight="true" outlineLevel="0" collapsed="false">
      <c r="B22" s="4" t="s">
        <v>18</v>
      </c>
      <c r="C22" s="5"/>
      <c r="D22" s="5"/>
    </row>
    <row r="23" customFormat="false" ht="21.75" hidden="false" customHeight="true" outlineLevel="0" collapsed="false">
      <c r="B23" s="4" t="s">
        <v>19</v>
      </c>
      <c r="C23" s="5"/>
      <c r="D23" s="5"/>
    </row>
    <row r="24" customFormat="false" ht="21.75" hidden="false" customHeight="true" outlineLevel="0" collapsed="false">
      <c r="B24" s="4" t="s">
        <v>20</v>
      </c>
      <c r="C24" s="5"/>
      <c r="D24" s="5"/>
    </row>
    <row r="26" customFormat="false" ht="15" hidden="false" customHeight="false" outlineLevel="0" collapsed="false">
      <c r="B26" s="6" t="s">
        <v>21</v>
      </c>
      <c r="C26" s="6"/>
      <c r="D26" s="6"/>
    </row>
    <row r="27" customFormat="false" ht="15.75" hidden="false" customHeight="true" outlineLevel="0" collapsed="false">
      <c r="B27" s="7" t="s">
        <v>22</v>
      </c>
      <c r="C27" s="7"/>
      <c r="D27" s="7"/>
    </row>
    <row r="28" customFormat="false" ht="15.75" hidden="false" customHeight="true" outlineLevel="0" collapsed="false">
      <c r="B28" s="8" t="s">
        <v>23</v>
      </c>
      <c r="C28" s="8"/>
      <c r="D28" s="8"/>
    </row>
    <row r="29" customFormat="false" ht="15.75" hidden="false" customHeight="true" outlineLevel="0" collapsed="false">
      <c r="B29" s="9" t="s">
        <v>24</v>
      </c>
      <c r="C29" s="9"/>
      <c r="D29" s="9"/>
    </row>
  </sheetData>
  <mergeCells count="25">
    <mergeCell ref="B2:D2"/>
    <mergeCell ref="B3:D3"/>
    <mergeCell ref="B5:D5"/>
    <mergeCell ref="C6:D6"/>
    <mergeCell ref="C7:D7"/>
    <mergeCell ref="C8:D8"/>
    <mergeCell ref="C9:D9"/>
    <mergeCell ref="C10:D10"/>
    <mergeCell ref="C11:D11"/>
    <mergeCell ref="C12:D12"/>
    <mergeCell ref="B13:D13"/>
    <mergeCell ref="C14:D14"/>
    <mergeCell ref="C15:D15"/>
    <mergeCell ref="C16:D16"/>
    <mergeCell ref="C17:D17"/>
    <mergeCell ref="C18:D18"/>
    <mergeCell ref="B20:D20"/>
    <mergeCell ref="C21:D21"/>
    <mergeCell ref="C22:D22"/>
    <mergeCell ref="C23:D23"/>
    <mergeCell ref="C24:D24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52"/>
    <col collapsed="false" customWidth="true" hidden="false" outlineLevel="0" max="4" min="4" style="0" width="4"/>
  </cols>
  <sheetData>
    <row r="2" customFormat="false" ht="30" hidden="false" customHeight="true" outlineLevel="0" collapsed="false">
      <c r="B2" s="1" t="s">
        <v>25</v>
      </c>
      <c r="C2" s="1"/>
    </row>
    <row r="4" customFormat="false" ht="18" hidden="false" customHeight="true" outlineLevel="0" collapsed="false">
      <c r="B4" s="3" t="s">
        <v>26</v>
      </c>
      <c r="C4" s="3"/>
    </row>
    <row r="5" customFormat="false" ht="49.5" hidden="false" customHeight="true" outlineLevel="0" collapsed="false">
      <c r="B5" s="5"/>
      <c r="C5" s="5"/>
    </row>
    <row r="6" customFormat="false" ht="18" hidden="false" customHeight="true" outlineLevel="0" collapsed="false">
      <c r="B6" s="3" t="s">
        <v>27</v>
      </c>
      <c r="C6" s="3"/>
    </row>
    <row r="7" customFormat="false" ht="60" hidden="false" customHeight="true" outlineLevel="0" collapsed="false">
      <c r="B7" s="5"/>
      <c r="C7" s="5"/>
    </row>
    <row r="8" customFormat="false" ht="18" hidden="false" customHeight="true" outlineLevel="0" collapsed="false">
      <c r="B8" s="3" t="s">
        <v>28</v>
      </c>
      <c r="C8" s="3"/>
    </row>
    <row r="9" customFormat="false" ht="60" hidden="false" customHeight="true" outlineLevel="0" collapsed="false">
      <c r="B9" s="5"/>
      <c r="C9" s="5"/>
    </row>
    <row r="10" customFormat="false" ht="18" hidden="false" customHeight="true" outlineLevel="0" collapsed="false">
      <c r="B10" s="3" t="s">
        <v>29</v>
      </c>
      <c r="C10" s="3"/>
    </row>
    <row r="11" customFormat="false" ht="49.5" hidden="false" customHeight="true" outlineLevel="0" collapsed="false">
      <c r="B11" s="5"/>
      <c r="C11" s="5"/>
    </row>
    <row r="12" customFormat="false" ht="18" hidden="false" customHeight="true" outlineLevel="0" collapsed="false">
      <c r="B12" s="3" t="s">
        <v>30</v>
      </c>
      <c r="C12" s="3"/>
    </row>
    <row r="13" customFormat="false" ht="49.5" hidden="false" customHeight="true" outlineLevel="0" collapsed="false">
      <c r="B13" s="5"/>
      <c r="C13" s="5"/>
    </row>
    <row r="14" customFormat="false" ht="18" hidden="false" customHeight="true" outlineLevel="0" collapsed="false">
      <c r="B14" s="3" t="s">
        <v>31</v>
      </c>
      <c r="C14" s="3"/>
    </row>
    <row r="15" customFormat="false" ht="60" hidden="false" customHeight="true" outlineLevel="0" collapsed="false">
      <c r="B15" s="5"/>
      <c r="C15" s="5"/>
    </row>
    <row r="16" customFormat="false" ht="18" hidden="false" customHeight="true" outlineLevel="0" collapsed="false">
      <c r="B16" s="3" t="s">
        <v>32</v>
      </c>
      <c r="C16" s="3"/>
    </row>
    <row r="17" customFormat="false" ht="49.5" hidden="false" customHeight="true" outlineLevel="0" collapsed="false">
      <c r="B17" s="5"/>
      <c r="C17" s="5"/>
    </row>
    <row r="18" customFormat="false" ht="18" hidden="false" customHeight="true" outlineLevel="0" collapsed="false">
      <c r="B18" s="3" t="s">
        <v>33</v>
      </c>
      <c r="C18" s="3"/>
    </row>
    <row r="19" customFormat="false" ht="60" hidden="false" customHeight="true" outlineLevel="0" collapsed="false">
      <c r="B19" s="5"/>
      <c r="C19" s="5"/>
    </row>
    <row r="20" customFormat="false" ht="18" hidden="false" customHeight="true" outlineLevel="0" collapsed="false">
      <c r="B20" s="3" t="s">
        <v>34</v>
      </c>
      <c r="C20" s="3"/>
    </row>
    <row r="21" customFormat="false" ht="49.5" hidden="false" customHeight="true" outlineLevel="0" collapsed="false">
      <c r="B21" s="5"/>
      <c r="C21" s="5"/>
    </row>
    <row r="22" customFormat="false" ht="18" hidden="false" customHeight="true" outlineLevel="0" collapsed="false">
      <c r="B22" s="3" t="s">
        <v>35</v>
      </c>
      <c r="C22" s="3"/>
    </row>
    <row r="23" customFormat="false" ht="49.5" hidden="false" customHeight="true" outlineLevel="0" collapsed="false">
      <c r="B23" s="5"/>
      <c r="C23" s="5"/>
    </row>
    <row r="24" customFormat="false" ht="18" hidden="false" customHeight="true" outlineLevel="0" collapsed="false">
      <c r="B24" s="3" t="s">
        <v>36</v>
      </c>
      <c r="C24" s="3"/>
    </row>
    <row r="25" customFormat="false" ht="49.5" hidden="false" customHeight="true" outlineLevel="0" collapsed="false">
      <c r="B25" s="5"/>
      <c r="C25" s="5"/>
    </row>
  </sheetData>
  <mergeCells count="23">
    <mergeCell ref="B2:C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24"/>
    <col collapsed="false" customWidth="true" hidden="false" outlineLevel="0" max="5" min="5" style="0" width="4"/>
  </cols>
  <sheetData>
    <row r="2" customFormat="false" ht="30" hidden="false" customHeight="true" outlineLevel="0" collapsed="false">
      <c r="B2" s="1" t="s">
        <v>37</v>
      </c>
      <c r="C2" s="1"/>
      <c r="D2" s="1"/>
    </row>
    <row r="4" customFormat="false" ht="18" hidden="false" customHeight="true" outlineLevel="0" collapsed="false">
      <c r="B4" s="3" t="s">
        <v>38</v>
      </c>
      <c r="C4" s="3"/>
      <c r="D4" s="3"/>
    </row>
    <row r="5" customFormat="false" ht="18" hidden="false" customHeight="true" outlineLevel="0" collapsed="false">
      <c r="B5" s="10" t="s">
        <v>39</v>
      </c>
      <c r="C5" s="10" t="s">
        <v>40</v>
      </c>
      <c r="D5" s="10" t="s">
        <v>41</v>
      </c>
    </row>
    <row r="6" customFormat="false" ht="19.5" hidden="false" customHeight="true" outlineLevel="0" collapsed="false">
      <c r="B6" s="11" t="s">
        <v>42</v>
      </c>
      <c r="C6" s="12"/>
      <c r="D6" s="13"/>
    </row>
    <row r="7" customFormat="false" ht="19.5" hidden="false" customHeight="true" outlineLevel="0" collapsed="false">
      <c r="B7" s="11" t="s">
        <v>43</v>
      </c>
      <c r="C7" s="12"/>
      <c r="D7" s="13"/>
    </row>
    <row r="8" customFormat="false" ht="19.5" hidden="false" customHeight="true" outlineLevel="0" collapsed="false">
      <c r="B8" s="11" t="s">
        <v>44</v>
      </c>
      <c r="C8" s="12"/>
      <c r="D8" s="13"/>
    </row>
    <row r="10" customFormat="false" ht="18" hidden="false" customHeight="true" outlineLevel="0" collapsed="false">
      <c r="B10" s="3" t="s">
        <v>45</v>
      </c>
      <c r="C10" s="3"/>
      <c r="D10" s="3"/>
    </row>
    <row r="11" customFormat="false" ht="21.75" hidden="false" customHeight="true" outlineLevel="0" collapsed="false">
      <c r="B11" s="4" t="s">
        <v>46</v>
      </c>
      <c r="C11" s="5"/>
      <c r="D11" s="5"/>
    </row>
    <row r="12" customFormat="false" ht="21.75" hidden="false" customHeight="true" outlineLevel="0" collapsed="false">
      <c r="B12" s="4" t="s">
        <v>47</v>
      </c>
      <c r="C12" s="5"/>
      <c r="D12" s="5"/>
    </row>
    <row r="13" customFormat="false" ht="21.75" hidden="false" customHeight="true" outlineLevel="0" collapsed="false">
      <c r="B13" s="4" t="s">
        <v>5</v>
      </c>
      <c r="C13" s="5"/>
      <c r="D13" s="5"/>
    </row>
    <row r="14" customFormat="false" ht="21.75" hidden="false" customHeight="true" outlineLevel="0" collapsed="false">
      <c r="B14" s="4" t="s">
        <v>48</v>
      </c>
      <c r="C14" s="5"/>
      <c r="D14" s="5"/>
    </row>
    <row r="15" customFormat="false" ht="21.75" hidden="false" customHeight="true" outlineLevel="0" collapsed="false">
      <c r="B15" s="4" t="s">
        <v>49</v>
      </c>
      <c r="C15" s="5"/>
      <c r="D15" s="5"/>
    </row>
    <row r="16" customFormat="false" ht="21.75" hidden="false" customHeight="true" outlineLevel="0" collapsed="false">
      <c r="B16" s="4" t="s">
        <v>50</v>
      </c>
      <c r="C16" s="5"/>
      <c r="D16" s="5"/>
    </row>
    <row r="18" customFormat="false" ht="18" hidden="false" customHeight="true" outlineLevel="0" collapsed="false">
      <c r="B18" s="3" t="s">
        <v>51</v>
      </c>
      <c r="C18" s="3"/>
      <c r="D18" s="3"/>
    </row>
    <row r="19" customFormat="false" ht="18" hidden="false" customHeight="true" outlineLevel="0" collapsed="false">
      <c r="B19" s="10" t="s">
        <v>52</v>
      </c>
      <c r="C19" s="10" t="s">
        <v>53</v>
      </c>
      <c r="D19" s="10" t="s">
        <v>54</v>
      </c>
    </row>
    <row r="20" customFormat="false" ht="21.75" hidden="false" customHeight="true" outlineLevel="0" collapsed="false">
      <c r="B20" s="13"/>
      <c r="C20" s="13"/>
      <c r="D20" s="13"/>
    </row>
    <row r="21" customFormat="false" ht="21.75" hidden="false" customHeight="true" outlineLevel="0" collapsed="false">
      <c r="B21" s="13"/>
      <c r="C21" s="13"/>
      <c r="D21" s="13"/>
    </row>
    <row r="22" customFormat="false" ht="21.75" hidden="false" customHeight="true" outlineLevel="0" collapsed="false">
      <c r="B22" s="13"/>
      <c r="C22" s="13"/>
      <c r="D22" s="13"/>
    </row>
    <row r="23" customFormat="false" ht="21.75" hidden="false" customHeight="true" outlineLevel="0" collapsed="false">
      <c r="B23" s="13"/>
      <c r="C23" s="13"/>
      <c r="D23" s="13"/>
    </row>
    <row r="24" customFormat="false" ht="21.75" hidden="false" customHeight="true" outlineLevel="0" collapsed="false">
      <c r="B24" s="13"/>
      <c r="C24" s="13"/>
      <c r="D24" s="13"/>
    </row>
    <row r="25" customFormat="false" ht="21.75" hidden="false" customHeight="true" outlineLevel="0" collapsed="false">
      <c r="B25" s="13"/>
      <c r="C25" s="13"/>
      <c r="D25" s="13"/>
    </row>
    <row r="27" customFormat="false" ht="18" hidden="false" customHeight="true" outlineLevel="0" collapsed="false">
      <c r="B27" s="3" t="s">
        <v>55</v>
      </c>
      <c r="C27" s="3"/>
      <c r="D27" s="3"/>
    </row>
    <row r="28" customFormat="false" ht="24" hidden="false" customHeight="true" outlineLevel="0" collapsed="false">
      <c r="B28" s="14"/>
      <c r="C28" s="14"/>
      <c r="D28" s="14"/>
    </row>
    <row r="29" customFormat="false" ht="24" hidden="false" customHeight="true" outlineLevel="0" collapsed="false">
      <c r="B29" s="14"/>
      <c r="C29" s="14"/>
      <c r="D29" s="14"/>
    </row>
    <row r="30" customFormat="false" ht="24" hidden="false" customHeight="true" outlineLevel="0" collapsed="false">
      <c r="B30" s="14"/>
      <c r="C30" s="14"/>
      <c r="D30" s="14"/>
    </row>
    <row r="31" customFormat="false" ht="24" hidden="false" customHeight="true" outlineLevel="0" collapsed="false">
      <c r="B31" s="14"/>
      <c r="C31" s="14"/>
      <c r="D31" s="14"/>
    </row>
    <row r="32" customFormat="false" ht="24" hidden="false" customHeight="true" outlineLevel="0" collapsed="false">
      <c r="B32" s="14"/>
      <c r="C32" s="14"/>
      <c r="D32" s="14"/>
    </row>
  </sheetData>
  <mergeCells count="16">
    <mergeCell ref="B2:D2"/>
    <mergeCell ref="B4:D4"/>
    <mergeCell ref="B10:D10"/>
    <mergeCell ref="C11:D11"/>
    <mergeCell ref="C12:D12"/>
    <mergeCell ref="C13:D13"/>
    <mergeCell ref="C14:D14"/>
    <mergeCell ref="C15:D15"/>
    <mergeCell ref="C16:D16"/>
    <mergeCell ref="B18:D18"/>
    <mergeCell ref="B27:D27"/>
    <mergeCell ref="B28:D28"/>
    <mergeCell ref="B29:D29"/>
    <mergeCell ref="B30:D30"/>
    <mergeCell ref="B31:D3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"/>
  </cols>
  <sheetData>
    <row r="2" customFormat="false" ht="30" hidden="false" customHeight="true" outlineLevel="0" collapsed="false">
      <c r="C2" s="1" t="s">
        <v>56</v>
      </c>
      <c r="D2" s="1"/>
      <c r="E2" s="1"/>
      <c r="F2" s="1"/>
    </row>
    <row r="4" customFormat="false" ht="18" hidden="false" customHeight="true" outlineLevel="0" collapsed="false">
      <c r="C4" s="3" t="s">
        <v>57</v>
      </c>
      <c r="D4" s="3"/>
      <c r="E4" s="3"/>
      <c r="F4" s="3"/>
    </row>
    <row r="5" customFormat="false" ht="18" hidden="false" customHeight="true" outlineLevel="0" collapsed="false">
      <c r="C5" s="11" t="s">
        <v>58</v>
      </c>
      <c r="D5" s="15" t="n">
        <v>0.3</v>
      </c>
    </row>
    <row r="6" customFormat="false" ht="18" hidden="false" customHeight="true" outlineLevel="0" collapsed="false">
      <c r="C6" s="11" t="s">
        <v>59</v>
      </c>
      <c r="D6" s="15" t="n">
        <v>0.25</v>
      </c>
    </row>
    <row r="7" customFormat="false" ht="18" hidden="false" customHeight="true" outlineLevel="0" collapsed="false">
      <c r="C7" s="11" t="s">
        <v>60</v>
      </c>
      <c r="D7" s="15" t="n">
        <v>0.4</v>
      </c>
    </row>
    <row r="8" customFormat="false" ht="18" hidden="false" customHeight="true" outlineLevel="0" collapsed="false">
      <c r="C8" s="11" t="s">
        <v>61</v>
      </c>
      <c r="D8" s="15" t="n">
        <v>0.15</v>
      </c>
    </row>
    <row r="9" customFormat="false" ht="18" hidden="false" customHeight="true" outlineLevel="0" collapsed="false">
      <c r="C9" s="11" t="s">
        <v>62</v>
      </c>
      <c r="D9" s="15" t="n">
        <v>0.25</v>
      </c>
    </row>
    <row r="10" customFormat="false" ht="18" hidden="false" customHeight="true" outlineLevel="0" collapsed="false">
      <c r="C10" s="3" t="s">
        <v>63</v>
      </c>
      <c r="D10" s="3"/>
      <c r="E10" s="3"/>
      <c r="F10" s="3"/>
    </row>
    <row r="11" customFormat="false" ht="18" hidden="false" customHeight="true" outlineLevel="0" collapsed="false">
      <c r="C11" s="10" t="s">
        <v>64</v>
      </c>
      <c r="D11" s="10" t="s">
        <v>65</v>
      </c>
      <c r="E11" s="10" t="s">
        <v>66</v>
      </c>
      <c r="F11" s="10" t="s">
        <v>67</v>
      </c>
    </row>
    <row r="12" customFormat="false" ht="18" hidden="false" customHeight="true" outlineLevel="0" collapsed="false">
      <c r="C12" s="4" t="s">
        <v>68</v>
      </c>
      <c r="D12" s="16" t="n">
        <v>500000</v>
      </c>
      <c r="E12" s="17" t="n">
        <f aca="false">D12*(1+D5)</f>
        <v>650000</v>
      </c>
      <c r="F12" s="17" t="n">
        <f aca="false">E12*(1+D6)</f>
        <v>812500</v>
      </c>
    </row>
    <row r="13" customFormat="false" ht="18" hidden="false" customHeight="true" outlineLevel="0" collapsed="false">
      <c r="C13" s="11" t="s">
        <v>69</v>
      </c>
      <c r="D13" s="17" t="n">
        <f aca="false">-D12*D7</f>
        <v>-200000</v>
      </c>
      <c r="E13" s="17" t="n">
        <f aca="false">-E12*D7</f>
        <v>-260000</v>
      </c>
      <c r="F13" s="17" t="n">
        <f aca="false">-F12*D7</f>
        <v>-325000</v>
      </c>
    </row>
    <row r="14" customFormat="false" ht="18" hidden="false" customHeight="true" outlineLevel="0" collapsed="false">
      <c r="C14" s="18" t="s">
        <v>70</v>
      </c>
      <c r="D14" s="19" t="n">
        <f aca="false">D12+D13</f>
        <v>300000</v>
      </c>
      <c r="E14" s="19" t="n">
        <f aca="false">E12+E13</f>
        <v>390000</v>
      </c>
      <c r="F14" s="19" t="n">
        <f aca="false">F12+F13</f>
        <v>487500</v>
      </c>
    </row>
    <row r="15" customFormat="false" ht="18" hidden="false" customHeight="true" outlineLevel="0" collapsed="false">
      <c r="C15" s="11" t="s">
        <v>71</v>
      </c>
      <c r="D15" s="20" t="n">
        <f aca="false">IFERROR(D14/D12,0)</f>
        <v>0.6</v>
      </c>
      <c r="E15" s="20" t="n">
        <f aca="false">IFERROR(E14/E12,0)</f>
        <v>0.6</v>
      </c>
      <c r="F15" s="20" t="n">
        <f aca="false">IFERROR(F14/F12,0)</f>
        <v>0.6</v>
      </c>
    </row>
    <row r="16" customFormat="false" ht="18" hidden="false" customHeight="true" outlineLevel="0" collapsed="false">
      <c r="C16" s="3" t="s">
        <v>72</v>
      </c>
      <c r="D16" s="3"/>
      <c r="E16" s="3"/>
      <c r="F16" s="3"/>
    </row>
    <row r="17" customFormat="false" ht="18" hidden="false" customHeight="true" outlineLevel="0" collapsed="false">
      <c r="C17" s="11" t="s">
        <v>73</v>
      </c>
      <c r="D17" s="16" t="n">
        <v>180000</v>
      </c>
      <c r="E17" s="17" t="n">
        <f aca="false">D17*(1+D8)</f>
        <v>207000</v>
      </c>
      <c r="F17" s="17" t="n">
        <f aca="false">D17*(1+D8)</f>
        <v>207000</v>
      </c>
    </row>
    <row r="18" customFormat="false" ht="18" hidden="false" customHeight="true" outlineLevel="0" collapsed="false">
      <c r="C18" s="11" t="s">
        <v>74</v>
      </c>
      <c r="D18" s="16" t="n">
        <v>50000</v>
      </c>
      <c r="E18" s="17" t="n">
        <f aca="false">D18*(1+D8)</f>
        <v>57500</v>
      </c>
      <c r="F18" s="17" t="n">
        <f aca="false">D18*(1+D8)</f>
        <v>57500</v>
      </c>
    </row>
    <row r="19" customFormat="false" ht="18" hidden="false" customHeight="true" outlineLevel="0" collapsed="false">
      <c r="C19" s="11" t="s">
        <v>75</v>
      </c>
      <c r="D19" s="16" t="n">
        <v>24000</v>
      </c>
      <c r="E19" s="17" t="n">
        <f aca="false">D19*(1+D8)</f>
        <v>27600</v>
      </c>
      <c r="F19" s="17" t="n">
        <f aca="false">D19*(1+D8)</f>
        <v>27600</v>
      </c>
    </row>
    <row r="20" customFormat="false" ht="18" hidden="false" customHeight="true" outlineLevel="0" collapsed="false">
      <c r="C20" s="11" t="s">
        <v>76</v>
      </c>
      <c r="D20" s="16" t="n">
        <v>18000</v>
      </c>
      <c r="E20" s="17" t="n">
        <f aca="false">D20*(1+D8)</f>
        <v>20700</v>
      </c>
      <c r="F20" s="17" t="n">
        <f aca="false">D20*(1+D8)</f>
        <v>20700</v>
      </c>
    </row>
    <row r="21" customFormat="false" ht="18" hidden="false" customHeight="true" outlineLevel="0" collapsed="false">
      <c r="C21" s="11" t="s">
        <v>77</v>
      </c>
      <c r="D21" s="16" t="n">
        <v>20000</v>
      </c>
      <c r="E21" s="17" t="n">
        <f aca="false">D21*(1+D8)</f>
        <v>23000</v>
      </c>
      <c r="F21" s="17" t="n">
        <f aca="false">D21*(1+D8)</f>
        <v>23000</v>
      </c>
    </row>
    <row r="22" customFormat="false" ht="18" hidden="false" customHeight="true" outlineLevel="0" collapsed="false">
      <c r="C22" s="18" t="s">
        <v>78</v>
      </c>
      <c r="D22" s="19" t="n">
        <f aca="false">-SUM(D17:D21)</f>
        <v>-292000</v>
      </c>
      <c r="E22" s="19" t="n">
        <f aca="false">-SUM(E17:E21)</f>
        <v>-335800</v>
      </c>
      <c r="F22" s="19" t="n">
        <f aca="false">-SUM(F17:F21)</f>
        <v>-335800</v>
      </c>
    </row>
    <row r="23" customFormat="false" ht="18" hidden="false" customHeight="true" outlineLevel="0" collapsed="false">
      <c r="C23" s="18" t="s">
        <v>79</v>
      </c>
      <c r="D23" s="19" t="n">
        <f aca="false">D14+D22</f>
        <v>8000</v>
      </c>
      <c r="E23" s="19" t="n">
        <f aca="false">E14+E22</f>
        <v>54200.0000000001</v>
      </c>
      <c r="F23" s="19" t="n">
        <f aca="false">F14+F22</f>
        <v>151700</v>
      </c>
    </row>
    <row r="24" customFormat="false" ht="18" hidden="false" customHeight="true" outlineLevel="0" collapsed="false">
      <c r="C24" s="11" t="s">
        <v>80</v>
      </c>
      <c r="D24" s="20" t="n">
        <f aca="false">IFERROR(D23/D12,0)</f>
        <v>0.016</v>
      </c>
      <c r="E24" s="20" t="n">
        <f aca="false">IFERROR(E23/E12,0)</f>
        <v>0.0833846153846155</v>
      </c>
      <c r="F24" s="20" t="n">
        <f aca="false">IFERROR(F23/F12,0)</f>
        <v>0.186707692307692</v>
      </c>
    </row>
    <row r="25" customFormat="false" ht="18" hidden="false" customHeight="true" outlineLevel="0" collapsed="false">
      <c r="C25" s="11" t="s">
        <v>81</v>
      </c>
      <c r="D25" s="17" t="n">
        <f aca="false">IF(D23&gt;0,D23*-D9,0)</f>
        <v>-2000</v>
      </c>
      <c r="E25" s="17" t="n">
        <f aca="false">IF(E23&gt;0,E23*-D9,0)</f>
        <v>-13550</v>
      </c>
      <c r="F25" s="17" t="n">
        <f aca="false">IF(F23&gt;0,F23*-D9,0)</f>
        <v>-37925</v>
      </c>
    </row>
    <row r="26" customFormat="false" ht="18" hidden="false" customHeight="true" outlineLevel="0" collapsed="false">
      <c r="C26" s="18" t="s">
        <v>82</v>
      </c>
      <c r="D26" s="19" t="n">
        <f aca="false">D23+D25</f>
        <v>6000</v>
      </c>
      <c r="E26" s="19" t="n">
        <f aca="false">E23+E25</f>
        <v>40650</v>
      </c>
      <c r="F26" s="19" t="n">
        <f aca="false">F23+F25</f>
        <v>113775</v>
      </c>
    </row>
    <row r="27" customFormat="false" ht="18" hidden="false" customHeight="true" outlineLevel="0" collapsed="false">
      <c r="C27" s="11" t="s">
        <v>83</v>
      </c>
      <c r="D27" s="20" t="n">
        <f aca="false">IFERROR(D26/D12,0)</f>
        <v>0.012</v>
      </c>
      <c r="E27" s="20" t="n">
        <f aca="false">IFERROR(E26/E12,0)</f>
        <v>0.0625384615384616</v>
      </c>
      <c r="F27" s="20" t="n">
        <f aca="false">IFERROR(F26/F12,0)</f>
        <v>0.140030769230769</v>
      </c>
    </row>
  </sheetData>
  <mergeCells count="4">
    <mergeCell ref="C2:F2"/>
    <mergeCell ref="C4:F4"/>
    <mergeCell ref="C10:F10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6" min="4" style="0" width="16"/>
    <col collapsed="false" customWidth="true" hidden="false" outlineLevel="0" max="7" min="7" style="0" width="20"/>
    <col collapsed="false" customWidth="true" hidden="false" outlineLevel="0" max="8" min="8" style="0" width="4"/>
  </cols>
  <sheetData>
    <row r="2" customFormat="false" ht="30" hidden="false" customHeight="true" outlineLevel="0" collapsed="false">
      <c r="B2" s="1" t="s">
        <v>84</v>
      </c>
      <c r="C2" s="1"/>
      <c r="D2" s="1"/>
      <c r="E2" s="1"/>
      <c r="F2" s="1"/>
      <c r="G2" s="1"/>
    </row>
    <row r="4" customFormat="false" ht="18" hidden="false" customHeight="true" outlineLevel="0" collapsed="false">
      <c r="B4" s="3" t="s">
        <v>85</v>
      </c>
      <c r="C4" s="3"/>
      <c r="D4" s="3"/>
      <c r="E4" s="3"/>
      <c r="F4" s="3"/>
      <c r="G4" s="3"/>
    </row>
    <row r="5" customFormat="false" ht="18" hidden="false" customHeight="true" outlineLevel="0" collapsed="false">
      <c r="B5" s="10" t="s">
        <v>86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</row>
    <row r="6" customFormat="false" ht="21.75" hidden="false" customHeight="true" outlineLevel="0" collapsed="false">
      <c r="B6" s="21" t="n">
        <v>1</v>
      </c>
      <c r="C6" s="13"/>
      <c r="D6" s="13"/>
      <c r="E6" s="13"/>
      <c r="F6" s="13"/>
      <c r="G6" s="13"/>
    </row>
    <row r="7" customFormat="false" ht="21.75" hidden="false" customHeight="true" outlineLevel="0" collapsed="false">
      <c r="B7" s="21" t="n">
        <v>2</v>
      </c>
      <c r="C7" s="13"/>
      <c r="D7" s="13"/>
      <c r="E7" s="13"/>
      <c r="F7" s="13"/>
      <c r="G7" s="13"/>
    </row>
    <row r="8" customFormat="false" ht="21.75" hidden="false" customHeight="true" outlineLevel="0" collapsed="false">
      <c r="B8" s="21" t="n">
        <v>3</v>
      </c>
      <c r="C8" s="13"/>
      <c r="D8" s="13"/>
      <c r="E8" s="13"/>
      <c r="F8" s="13"/>
      <c r="G8" s="13"/>
    </row>
    <row r="9" customFormat="false" ht="21.75" hidden="false" customHeight="true" outlineLevel="0" collapsed="false">
      <c r="B9" s="21" t="n">
        <v>4</v>
      </c>
      <c r="C9" s="13"/>
      <c r="D9" s="13"/>
      <c r="E9" s="13"/>
      <c r="F9" s="13"/>
      <c r="G9" s="13"/>
    </row>
    <row r="10" customFormat="false" ht="21.75" hidden="false" customHeight="true" outlineLevel="0" collapsed="false">
      <c r="B10" s="21" t="n">
        <v>5</v>
      </c>
      <c r="C10" s="13"/>
      <c r="D10" s="13"/>
      <c r="E10" s="13"/>
      <c r="F10" s="13"/>
      <c r="G10" s="13"/>
    </row>
    <row r="11" customFormat="false" ht="21.75" hidden="false" customHeight="true" outlineLevel="0" collapsed="false">
      <c r="B11" s="21" t="n">
        <v>6</v>
      </c>
      <c r="C11" s="13"/>
      <c r="D11" s="13"/>
      <c r="E11" s="13"/>
      <c r="F11" s="13"/>
      <c r="G11" s="13"/>
    </row>
    <row r="12" customFormat="false" ht="21.75" hidden="false" customHeight="true" outlineLevel="0" collapsed="false">
      <c r="B12" s="21" t="n">
        <v>7</v>
      </c>
      <c r="C12" s="13"/>
      <c r="D12" s="13"/>
      <c r="E12" s="13"/>
      <c r="F12" s="13"/>
      <c r="G12" s="13"/>
    </row>
    <row r="13" customFormat="false" ht="21.75" hidden="false" customHeight="true" outlineLevel="0" collapsed="false">
      <c r="B13" s="21" t="n">
        <v>8</v>
      </c>
      <c r="C13" s="13"/>
      <c r="D13" s="13"/>
      <c r="E13" s="13"/>
      <c r="F13" s="13"/>
      <c r="G13" s="13"/>
    </row>
    <row r="14" customFormat="false" ht="21.75" hidden="false" customHeight="true" outlineLevel="0" collapsed="false">
      <c r="B14" s="21" t="n">
        <v>9</v>
      </c>
      <c r="C14" s="13"/>
      <c r="D14" s="13"/>
      <c r="E14" s="13"/>
      <c r="F14" s="13"/>
      <c r="G14" s="13"/>
    </row>
    <row r="15" customFormat="false" ht="21.75" hidden="false" customHeight="true" outlineLevel="0" collapsed="false">
      <c r="B15" s="21" t="n">
        <v>10</v>
      </c>
      <c r="C15" s="13"/>
      <c r="D15" s="13"/>
      <c r="E15" s="13"/>
      <c r="F15" s="13"/>
      <c r="G15" s="13"/>
    </row>
    <row r="17" customFormat="false" ht="18" hidden="false" customHeight="true" outlineLevel="0" collapsed="false">
      <c r="B17" s="3" t="s">
        <v>92</v>
      </c>
      <c r="C17" s="3"/>
      <c r="D17" s="3"/>
      <c r="E17" s="3"/>
      <c r="F17" s="3"/>
      <c r="G17" s="3"/>
    </row>
    <row r="18" customFormat="false" ht="18" hidden="false" customHeight="true" outlineLevel="0" collapsed="false">
      <c r="B18" s="10" t="s">
        <v>86</v>
      </c>
      <c r="C18" s="10" t="s">
        <v>93</v>
      </c>
      <c r="D18" s="10" t="s">
        <v>94</v>
      </c>
      <c r="E18" s="10" t="s">
        <v>89</v>
      </c>
      <c r="F18" s="10" t="s">
        <v>95</v>
      </c>
      <c r="G18" s="10" t="s">
        <v>90</v>
      </c>
    </row>
    <row r="19" customFormat="false" ht="21.75" hidden="false" customHeight="true" outlineLevel="0" collapsed="false">
      <c r="B19" s="21" t="n">
        <v>1</v>
      </c>
      <c r="C19" s="13"/>
      <c r="D19" s="13"/>
      <c r="E19" s="13"/>
      <c r="F19" s="13"/>
      <c r="G19" s="13"/>
    </row>
    <row r="20" customFormat="false" ht="21.75" hidden="false" customHeight="true" outlineLevel="0" collapsed="false">
      <c r="B20" s="21" t="n">
        <v>2</v>
      </c>
      <c r="C20" s="13"/>
      <c r="D20" s="13"/>
      <c r="E20" s="13"/>
      <c r="F20" s="13"/>
      <c r="G20" s="13"/>
    </row>
    <row r="21" customFormat="false" ht="21.75" hidden="false" customHeight="true" outlineLevel="0" collapsed="false">
      <c r="B21" s="21" t="n">
        <v>3</v>
      </c>
      <c r="C21" s="13"/>
      <c r="D21" s="13"/>
      <c r="E21" s="13"/>
      <c r="F21" s="13"/>
      <c r="G21" s="13"/>
    </row>
    <row r="22" customFormat="false" ht="21.75" hidden="false" customHeight="true" outlineLevel="0" collapsed="false">
      <c r="B22" s="21" t="n">
        <v>4</v>
      </c>
      <c r="C22" s="13"/>
      <c r="D22" s="13"/>
      <c r="E22" s="13"/>
      <c r="F22" s="13"/>
      <c r="G22" s="13"/>
    </row>
    <row r="23" customFormat="false" ht="21.75" hidden="false" customHeight="true" outlineLevel="0" collapsed="false">
      <c r="B23" s="21" t="n">
        <v>5</v>
      </c>
      <c r="C23" s="13"/>
      <c r="D23" s="13"/>
      <c r="E23" s="13"/>
      <c r="F23" s="13"/>
      <c r="G23" s="13"/>
    </row>
    <row r="24" customFormat="false" ht="21.75" hidden="false" customHeight="true" outlineLevel="0" collapsed="false">
      <c r="B24" s="21" t="n">
        <v>6</v>
      </c>
      <c r="C24" s="13"/>
      <c r="D24" s="13"/>
      <c r="E24" s="13"/>
      <c r="F24" s="13"/>
      <c r="G24" s="13"/>
    </row>
    <row r="25" customFormat="false" ht="21.75" hidden="false" customHeight="true" outlineLevel="0" collapsed="false">
      <c r="B25" s="21" t="n">
        <v>7</v>
      </c>
      <c r="C25" s="13"/>
      <c r="D25" s="13"/>
      <c r="E25" s="13"/>
      <c r="F25" s="13"/>
      <c r="G25" s="13"/>
    </row>
    <row r="26" customFormat="false" ht="21.75" hidden="false" customHeight="true" outlineLevel="0" collapsed="false">
      <c r="B26" s="21" t="n">
        <v>8</v>
      </c>
      <c r="C26" s="13"/>
      <c r="D26" s="13"/>
      <c r="E26" s="13"/>
      <c r="F26" s="13"/>
      <c r="G26" s="13"/>
    </row>
    <row r="27" customFormat="false" ht="21.75" hidden="false" customHeight="true" outlineLevel="0" collapsed="false">
      <c r="B27" s="21" t="n">
        <v>9</v>
      </c>
      <c r="C27" s="13"/>
      <c r="D27" s="13"/>
      <c r="E27" s="13"/>
      <c r="F27" s="13"/>
      <c r="G27" s="13"/>
    </row>
    <row r="28" customFormat="false" ht="21.75" hidden="false" customHeight="true" outlineLevel="0" collapsed="false">
      <c r="B28" s="21" t="n">
        <v>10</v>
      </c>
      <c r="C28" s="13"/>
      <c r="D28" s="13"/>
      <c r="E28" s="13"/>
      <c r="F28" s="13"/>
      <c r="G28" s="13"/>
    </row>
  </sheetData>
  <mergeCells count="3">
    <mergeCell ref="B2:G2"/>
    <mergeCell ref="B4:G4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5" min="3" style="0" width="22"/>
    <col collapsed="false" customWidth="true" hidden="false" outlineLevel="0" max="6" min="6" style="0" width="4"/>
  </cols>
  <sheetData>
    <row r="2" customFormat="false" ht="30" hidden="false" customHeight="true" outlineLevel="0" collapsed="false">
      <c r="B2" s="1" t="s">
        <v>96</v>
      </c>
      <c r="C2" s="1"/>
      <c r="D2" s="1"/>
      <c r="E2" s="1"/>
    </row>
    <row r="4" customFormat="false" ht="18" hidden="false" customHeight="true" outlineLevel="0" collapsed="false">
      <c r="B4" s="3" t="s">
        <v>97</v>
      </c>
      <c r="C4" s="3"/>
      <c r="D4" s="3"/>
      <c r="E4" s="3"/>
    </row>
    <row r="5" customFormat="false" ht="18" hidden="false" customHeight="true" outlineLevel="0" collapsed="false">
      <c r="B5" s="10" t="s">
        <v>98</v>
      </c>
      <c r="C5" s="10" t="s">
        <v>12</v>
      </c>
      <c r="D5" s="10" t="s">
        <v>99</v>
      </c>
      <c r="E5" s="10" t="s">
        <v>100</v>
      </c>
    </row>
    <row r="6" customFormat="false" ht="21.75" hidden="false" customHeight="true" outlineLevel="0" collapsed="false">
      <c r="B6" s="13"/>
      <c r="C6" s="13"/>
      <c r="D6" s="13"/>
      <c r="E6" s="13"/>
    </row>
    <row r="7" customFormat="false" ht="21.75" hidden="false" customHeight="true" outlineLevel="0" collapsed="false">
      <c r="B7" s="13"/>
      <c r="C7" s="13"/>
      <c r="D7" s="13"/>
      <c r="E7" s="13"/>
    </row>
    <row r="8" customFormat="false" ht="21.75" hidden="false" customHeight="true" outlineLevel="0" collapsed="false">
      <c r="B8" s="13"/>
      <c r="C8" s="13"/>
      <c r="D8" s="13"/>
      <c r="E8" s="13"/>
    </row>
    <row r="9" customFormat="false" ht="21.75" hidden="false" customHeight="true" outlineLevel="0" collapsed="false">
      <c r="B9" s="13"/>
      <c r="C9" s="13"/>
      <c r="D9" s="13"/>
      <c r="E9" s="13"/>
    </row>
    <row r="10" customFormat="false" ht="21.75" hidden="false" customHeight="true" outlineLevel="0" collapsed="false">
      <c r="B10" s="13"/>
      <c r="C10" s="13"/>
      <c r="D10" s="13"/>
      <c r="E10" s="13"/>
    </row>
    <row r="12" customFormat="false" ht="18" hidden="false" customHeight="true" outlineLevel="0" collapsed="false">
      <c r="B12" s="3" t="s">
        <v>101</v>
      </c>
      <c r="C12" s="3"/>
      <c r="D12" s="3"/>
      <c r="E12" s="3"/>
    </row>
    <row r="13" customFormat="false" ht="18" hidden="false" customHeight="true" outlineLevel="0" collapsed="false">
      <c r="B13" s="10" t="s">
        <v>98</v>
      </c>
      <c r="C13" s="10" t="s">
        <v>102</v>
      </c>
      <c r="D13" s="10" t="s">
        <v>103</v>
      </c>
      <c r="E13" s="10" t="s">
        <v>104</v>
      </c>
    </row>
    <row r="14" customFormat="false" ht="21.75" hidden="false" customHeight="true" outlineLevel="0" collapsed="false">
      <c r="B14" s="13"/>
      <c r="C14" s="13"/>
      <c r="D14" s="13"/>
      <c r="E14" s="13"/>
    </row>
    <row r="15" customFormat="false" ht="21.75" hidden="false" customHeight="true" outlineLevel="0" collapsed="false">
      <c r="B15" s="13"/>
      <c r="C15" s="13"/>
      <c r="D15" s="13"/>
      <c r="E15" s="13"/>
    </row>
    <row r="16" customFormat="false" ht="21.75" hidden="false" customHeight="true" outlineLevel="0" collapsed="false">
      <c r="B16" s="13"/>
      <c r="C16" s="13"/>
      <c r="D16" s="13"/>
      <c r="E16" s="13"/>
    </row>
    <row r="17" customFormat="false" ht="21.75" hidden="false" customHeight="true" outlineLevel="0" collapsed="false">
      <c r="B17" s="13"/>
      <c r="C17" s="13"/>
      <c r="D17" s="13"/>
      <c r="E17" s="13"/>
    </row>
    <row r="19" customFormat="false" ht="18" hidden="false" customHeight="true" outlineLevel="0" collapsed="false">
      <c r="B19" s="3" t="s">
        <v>105</v>
      </c>
      <c r="C19" s="3"/>
      <c r="D19" s="3"/>
      <c r="E19" s="3"/>
    </row>
    <row r="20" customFormat="false" ht="18" hidden="false" customHeight="true" outlineLevel="0" collapsed="false">
      <c r="B20" s="10" t="s">
        <v>106</v>
      </c>
      <c r="C20" s="10" t="s">
        <v>107</v>
      </c>
      <c r="D20" s="10" t="s">
        <v>108</v>
      </c>
      <c r="E20" s="10" t="s">
        <v>109</v>
      </c>
    </row>
    <row r="21" customFormat="false" ht="21.75" hidden="false" customHeight="true" outlineLevel="0" collapsed="false">
      <c r="B21" s="13"/>
      <c r="C21" s="13"/>
      <c r="D21" s="13"/>
      <c r="E21" s="22"/>
    </row>
    <row r="22" customFormat="false" ht="21.75" hidden="false" customHeight="true" outlineLevel="0" collapsed="false">
      <c r="B22" s="13"/>
      <c r="C22" s="13"/>
      <c r="D22" s="13"/>
      <c r="E22" s="22"/>
    </row>
    <row r="23" customFormat="false" ht="21.75" hidden="false" customHeight="true" outlineLevel="0" collapsed="false">
      <c r="B23" s="13"/>
      <c r="C23" s="13"/>
      <c r="D23" s="13"/>
      <c r="E23" s="22"/>
    </row>
    <row r="24" customFormat="false" ht="21.75" hidden="false" customHeight="true" outlineLevel="0" collapsed="false">
      <c r="B24" s="13"/>
      <c r="C24" s="13"/>
      <c r="D24" s="13"/>
      <c r="E24" s="22"/>
    </row>
    <row r="25" customFormat="false" ht="21.75" hidden="false" customHeight="true" outlineLevel="0" collapsed="false">
      <c r="B25" s="13"/>
      <c r="C25" s="13"/>
      <c r="D25" s="13"/>
      <c r="E25" s="22"/>
    </row>
    <row r="26" customFormat="false" ht="21.75" hidden="false" customHeight="true" outlineLevel="0" collapsed="false">
      <c r="B26" s="13"/>
      <c r="C26" s="13"/>
      <c r="D26" s="13"/>
      <c r="E26" s="22"/>
    </row>
    <row r="28" customFormat="false" ht="18" hidden="false" customHeight="true" outlineLevel="0" collapsed="false">
      <c r="B28" s="3" t="s">
        <v>110</v>
      </c>
      <c r="C28" s="3"/>
      <c r="D28" s="3"/>
      <c r="E28" s="3"/>
    </row>
    <row r="29" customFormat="false" ht="21.75" hidden="false" customHeight="true" outlineLevel="0" collapsed="false">
      <c r="B29" s="4" t="s">
        <v>111</v>
      </c>
      <c r="C29" s="5"/>
      <c r="D29" s="5"/>
      <c r="E29" s="5"/>
    </row>
    <row r="30" customFormat="false" ht="21.75" hidden="false" customHeight="true" outlineLevel="0" collapsed="false">
      <c r="B30" s="4" t="s">
        <v>112</v>
      </c>
      <c r="C30" s="5"/>
      <c r="D30" s="5"/>
      <c r="E30" s="5"/>
    </row>
    <row r="31" customFormat="false" ht="21.75" hidden="false" customHeight="true" outlineLevel="0" collapsed="false">
      <c r="B31" s="4" t="s">
        <v>113</v>
      </c>
      <c r="C31" s="5"/>
      <c r="D31" s="5"/>
      <c r="E31" s="5"/>
    </row>
    <row r="32" customFormat="false" ht="21.75" hidden="false" customHeight="true" outlineLevel="0" collapsed="false">
      <c r="B32" s="4" t="s">
        <v>114</v>
      </c>
      <c r="C32" s="5"/>
      <c r="D32" s="5"/>
      <c r="E32" s="5"/>
    </row>
    <row r="33" customFormat="false" ht="21.75" hidden="false" customHeight="true" outlineLevel="0" collapsed="false">
      <c r="B33" s="4" t="s">
        <v>115</v>
      </c>
      <c r="C33" s="5"/>
      <c r="D33" s="5"/>
      <c r="E33" s="5"/>
    </row>
    <row r="34" customFormat="false" ht="21.75" hidden="false" customHeight="true" outlineLevel="0" collapsed="false">
      <c r="B34" s="4" t="s">
        <v>116</v>
      </c>
      <c r="C34" s="5"/>
      <c r="D34" s="5"/>
      <c r="E34" s="5"/>
    </row>
  </sheetData>
  <mergeCells count="11">
    <mergeCell ref="B2:E2"/>
    <mergeCell ref="B4:E4"/>
    <mergeCell ref="B12:E12"/>
    <mergeCell ref="B19:E19"/>
    <mergeCell ref="B28:E28"/>
    <mergeCell ref="C29:E29"/>
    <mergeCell ref="C30:E30"/>
    <mergeCell ref="C31:E31"/>
    <mergeCell ref="C32:E32"/>
    <mergeCell ref="C33:E33"/>
    <mergeCell ref="C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2026-04-11T08:39:46Z</dcterms:created>
  <dc:creator>openpyxl</dc:creator>
  <dc:description/>
  <dc:language>en-US</dc:language>
  <cp:lastModifiedBy/>
  <dcterms:modified xsi:type="dcterms:W3CDTF">2026-04-11T08:39:46Z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